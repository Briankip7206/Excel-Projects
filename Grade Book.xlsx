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B906D4-9AA8-475C-9812-08C72E5FF7DC}" xr6:coauthVersionLast="47" xr6:coauthVersionMax="47" xr10:uidLastSave="{00000000-0000-0000-0000-000000000000}"/>
  <bookViews>
    <workbookView xWindow="-110" yWindow="-110" windowWidth="19420" windowHeight="10540" xr2:uid="{E450EF93-5144-473A-84E5-6ECB4D5D5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E22" i="1"/>
  <c r="F22" i="1"/>
  <c r="D23" i="1"/>
  <c r="E23" i="1"/>
  <c r="F23" i="1"/>
  <c r="D24" i="1"/>
  <c r="E24" i="1"/>
  <c r="F24" i="1"/>
  <c r="C24" i="1"/>
  <c r="C23" i="1"/>
  <c r="C22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H5" i="1"/>
  <c r="M5" i="1" s="1"/>
  <c r="H6" i="1"/>
  <c r="H7" i="1"/>
  <c r="H8" i="1"/>
  <c r="H9" i="1"/>
  <c r="M9" i="1" s="1"/>
  <c r="H10" i="1"/>
  <c r="H11" i="1"/>
  <c r="H12" i="1"/>
  <c r="H13" i="1"/>
  <c r="M13" i="1" s="1"/>
  <c r="H14" i="1"/>
  <c r="H15" i="1"/>
  <c r="H16" i="1"/>
  <c r="H17" i="1"/>
  <c r="M17" i="1" s="1"/>
  <c r="H18" i="1"/>
  <c r="H19" i="1"/>
  <c r="H20" i="1"/>
  <c r="H4" i="1"/>
  <c r="M4" i="1" l="1"/>
  <c r="M20" i="1"/>
  <c r="M16" i="1"/>
  <c r="M12" i="1"/>
  <c r="H22" i="1"/>
  <c r="I24" i="1"/>
  <c r="M19" i="1"/>
  <c r="M15" i="1"/>
  <c r="M11" i="1"/>
  <c r="M7" i="1"/>
  <c r="J24" i="1"/>
  <c r="M18" i="1"/>
  <c r="M14" i="1"/>
  <c r="M10" i="1"/>
  <c r="M6" i="1"/>
  <c r="K24" i="1"/>
  <c r="H23" i="1"/>
  <c r="I22" i="1"/>
  <c r="I23" i="1"/>
  <c r="M8" i="1"/>
  <c r="H24" i="1"/>
  <c r="J22" i="1"/>
  <c r="J23" i="1"/>
  <c r="K22" i="1"/>
  <c r="K23" i="1"/>
</calcChain>
</file>

<file path=xl/sharedStrings.xml><?xml version="1.0" encoding="utf-8"?>
<sst xmlns="http://schemas.openxmlformats.org/spreadsheetml/2006/main" count="52" uniqueCount="48">
  <si>
    <t>Grade Book</t>
  </si>
  <si>
    <t>Last Name</t>
  </si>
  <si>
    <t>First Name</t>
  </si>
  <si>
    <t>Ken</t>
  </si>
  <si>
    <t>Jon</t>
  </si>
  <si>
    <t>Victor</t>
  </si>
  <si>
    <t>Otieno</t>
  </si>
  <si>
    <t>Brian</t>
  </si>
  <si>
    <t>James</t>
  </si>
  <si>
    <t xml:space="preserve">Asaf </t>
  </si>
  <si>
    <t>Korir</t>
  </si>
  <si>
    <t>Joy</t>
  </si>
  <si>
    <t>Bett</t>
  </si>
  <si>
    <t>Amos</t>
  </si>
  <si>
    <t>Mutai</t>
  </si>
  <si>
    <t>Steve</t>
  </si>
  <si>
    <t>Biko</t>
  </si>
  <si>
    <t>Halima</t>
  </si>
  <si>
    <t>Chep</t>
  </si>
  <si>
    <t>Mercy</t>
  </si>
  <si>
    <t>Juma</t>
  </si>
  <si>
    <t>Issah</t>
  </si>
  <si>
    <t>Hassan</t>
  </si>
  <si>
    <t xml:space="preserve">Rehema </t>
  </si>
  <si>
    <t>Mueni</t>
  </si>
  <si>
    <t>Glara</t>
  </si>
  <si>
    <t>Jeptoo</t>
  </si>
  <si>
    <t>Laban</t>
  </si>
  <si>
    <t>Kimani</t>
  </si>
  <si>
    <t>Dan</t>
  </si>
  <si>
    <t>Kirui</t>
  </si>
  <si>
    <t>Jose</t>
  </si>
  <si>
    <t>Morino</t>
  </si>
  <si>
    <t>Kelvin</t>
  </si>
  <si>
    <t>Klein</t>
  </si>
  <si>
    <t>Brenda</t>
  </si>
  <si>
    <t>Kwamboka</t>
  </si>
  <si>
    <t>Saftey Test</t>
  </si>
  <si>
    <t>Drug Test</t>
  </si>
  <si>
    <t>Company Philosophy Test</t>
  </si>
  <si>
    <t>Financial Skills Test</t>
  </si>
  <si>
    <t>Points Possible</t>
  </si>
  <si>
    <t xml:space="preserve"> </t>
  </si>
  <si>
    <t>Fire Employee?</t>
  </si>
  <si>
    <t>Max</t>
  </si>
  <si>
    <t>Min</t>
  </si>
  <si>
    <t>Average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</si>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</sst>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0" fillId="2" borderId="1" xfId="0" applyFill="1" applyBorder="1"/>
    <xf numFmtId="0" fontId="0" fillId="2" borderId="1" xfId="0" applyFill="1" applyBorder="1" applyAlignment="1">
      <alignment textRotation="90"/>
    </xf>
    <xf numFmtId="0" fontId="2" fillId="3" borderId="1" xfId="0" applyFont="1" applyFill="1" applyBorder="1"/>
    <xf numFmtId="9" fontId="0" fillId="3" borderId="1" xfId="1" applyFont="1" applyFill="1" applyBorder="1"/>
    <xf numFmtId="0" fontId="0" fillId="3" borderId="1" xfId="0" applyFont="1" applyFill="1" applyBorder="1"/>
    <xf numFmtId="0" fontId="0" fillId="2" borderId="2" xfId="0" applyFill="1" applyBorder="1" applyAlignment="1"/>
    <xf numFmtId="0" fontId="0" fillId="0" borderId="3" xfId="0" applyBorder="1" applyAlignment="1"/>
    <xf numFmtId="0" fontId="0" fillId="3" borderId="2" xfId="0" applyFont="1" applyFill="1" applyBorder="1" applyAlignme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Saftey Test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</c:v>
                </c:pt>
                <c:pt idx="1">
                  <c:v>Victor</c:v>
                </c:pt>
                <c:pt idx="2">
                  <c:v>Brian</c:v>
                </c:pt>
                <c:pt idx="3">
                  <c:v>Asaf </c:v>
                </c:pt>
                <c:pt idx="4">
                  <c:v>Joy</c:v>
                </c:pt>
                <c:pt idx="5">
                  <c:v>Amos</c:v>
                </c:pt>
                <c:pt idx="6">
                  <c:v>Steve</c:v>
                </c:pt>
                <c:pt idx="7">
                  <c:v>Halima</c:v>
                </c:pt>
                <c:pt idx="8">
                  <c:v>Mercy</c:v>
                </c:pt>
                <c:pt idx="9">
                  <c:v>Issah</c:v>
                </c:pt>
                <c:pt idx="10">
                  <c:v>Rehema </c:v>
                </c:pt>
                <c:pt idx="11">
                  <c:v>Glara</c:v>
                </c:pt>
                <c:pt idx="12">
                  <c:v>Laban</c:v>
                </c:pt>
                <c:pt idx="13">
                  <c:v>Dan</c:v>
                </c:pt>
                <c:pt idx="14">
                  <c:v>Jose</c:v>
                </c:pt>
                <c:pt idx="15">
                  <c:v>Kelvin</c:v>
                </c:pt>
                <c:pt idx="16">
                  <c:v>Brenda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2-4B46-BAF2-BEFE85428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306384"/>
        <c:axId val="1563480288"/>
      </c:barChart>
      <c:catAx>
        <c:axId val="18253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80288"/>
        <c:crosses val="autoZero"/>
        <c:auto val="1"/>
        <c:lblAlgn val="ctr"/>
        <c:lblOffset val="100"/>
        <c:noMultiLvlLbl val="0"/>
      </c:catAx>
      <c:valAx>
        <c:axId val="15634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0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>
        <c:manualLayout>
          <c:xMode val="edge"/>
          <c:yMode val="edge"/>
          <c:x val="0.32645518788865552"/>
          <c:y val="4.2062279903454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</c:v>
                </c:pt>
                <c:pt idx="1">
                  <c:v>Victor</c:v>
                </c:pt>
                <c:pt idx="2">
                  <c:v>Brian</c:v>
                </c:pt>
                <c:pt idx="3">
                  <c:v>Asaf </c:v>
                </c:pt>
                <c:pt idx="4">
                  <c:v>Joy</c:v>
                </c:pt>
                <c:pt idx="5">
                  <c:v>Amos</c:v>
                </c:pt>
                <c:pt idx="6">
                  <c:v>Steve</c:v>
                </c:pt>
                <c:pt idx="7">
                  <c:v>Halima</c:v>
                </c:pt>
                <c:pt idx="8">
                  <c:v>Mercy</c:v>
                </c:pt>
                <c:pt idx="9">
                  <c:v>Issah</c:v>
                </c:pt>
                <c:pt idx="10">
                  <c:v>Rehema </c:v>
                </c:pt>
                <c:pt idx="11">
                  <c:v>Glara</c:v>
                </c:pt>
                <c:pt idx="12">
                  <c:v>Laban</c:v>
                </c:pt>
                <c:pt idx="13">
                  <c:v>Dan</c:v>
                </c:pt>
                <c:pt idx="14">
                  <c:v>Jose</c:v>
                </c:pt>
                <c:pt idx="15">
                  <c:v>Kelvin</c:v>
                </c:pt>
                <c:pt idx="16">
                  <c:v>Brenda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093-8F3B-B1981DED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298352"/>
        <c:axId val="1968293072"/>
      </c:barChart>
      <c:catAx>
        <c:axId val="19682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3072"/>
        <c:crosses val="autoZero"/>
        <c:auto val="1"/>
        <c:lblAlgn val="ctr"/>
        <c:lblOffset val="100"/>
        <c:noMultiLvlLbl val="0"/>
      </c:catAx>
      <c:valAx>
        <c:axId val="19682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layout>
        <c:manualLayout>
          <c:xMode val="edge"/>
          <c:yMode val="edge"/>
          <c:x val="0.36343704334255517"/>
          <c:y val="5.61857733884959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8601683410262"/>
          <c:y val="3.5665712240515388E-2"/>
          <c:w val="0.87258941544474544"/>
          <c:h val="0.665992976639692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</c:v>
                </c:pt>
                <c:pt idx="1">
                  <c:v>Victor</c:v>
                </c:pt>
                <c:pt idx="2">
                  <c:v>Brian</c:v>
                </c:pt>
                <c:pt idx="3">
                  <c:v>Asaf </c:v>
                </c:pt>
                <c:pt idx="4">
                  <c:v>Joy</c:v>
                </c:pt>
                <c:pt idx="5">
                  <c:v>Amos</c:v>
                </c:pt>
                <c:pt idx="6">
                  <c:v>Steve</c:v>
                </c:pt>
                <c:pt idx="7">
                  <c:v>Halima</c:v>
                </c:pt>
                <c:pt idx="8">
                  <c:v>Mercy</c:v>
                </c:pt>
                <c:pt idx="9">
                  <c:v>Issah</c:v>
                </c:pt>
                <c:pt idx="10">
                  <c:v>Rehema </c:v>
                </c:pt>
                <c:pt idx="11">
                  <c:v>Glara</c:v>
                </c:pt>
                <c:pt idx="12">
                  <c:v>Laban</c:v>
                </c:pt>
                <c:pt idx="13">
                  <c:v>Dan</c:v>
                </c:pt>
                <c:pt idx="14">
                  <c:v>Jose</c:v>
                </c:pt>
                <c:pt idx="15">
                  <c:v>Kelvin</c:v>
                </c:pt>
                <c:pt idx="16">
                  <c:v>Brenda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7-4D42-B6F3-33BE174C5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485088"/>
        <c:axId val="1968308432"/>
      </c:barChart>
      <c:catAx>
        <c:axId val="15634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08432"/>
        <c:crosses val="autoZero"/>
        <c:auto val="1"/>
        <c:lblAlgn val="ctr"/>
        <c:lblOffset val="100"/>
        <c:noMultiLvlLbl val="0"/>
      </c:catAx>
      <c:valAx>
        <c:axId val="19683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8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 Test</a:t>
            </a:r>
          </a:p>
        </c:rich>
      </c:tx>
      <c:layout>
        <c:manualLayout>
          <c:xMode val="edge"/>
          <c:yMode val="edge"/>
          <c:x val="0.40602853158049446"/>
          <c:y val="3.7267080745341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Ken</c:v>
                </c:pt>
                <c:pt idx="1">
                  <c:v>Victor</c:v>
                </c:pt>
                <c:pt idx="2">
                  <c:v>Brian</c:v>
                </c:pt>
                <c:pt idx="3">
                  <c:v>Asaf </c:v>
                </c:pt>
                <c:pt idx="4">
                  <c:v>Joy</c:v>
                </c:pt>
                <c:pt idx="5">
                  <c:v>Amos</c:v>
                </c:pt>
                <c:pt idx="6">
                  <c:v>Steve</c:v>
                </c:pt>
                <c:pt idx="7">
                  <c:v>Halima</c:v>
                </c:pt>
                <c:pt idx="8">
                  <c:v>Mercy</c:v>
                </c:pt>
                <c:pt idx="9">
                  <c:v>Issah</c:v>
                </c:pt>
                <c:pt idx="10">
                  <c:v>Rehema </c:v>
                </c:pt>
                <c:pt idx="11">
                  <c:v>Glara</c:v>
                </c:pt>
                <c:pt idx="12">
                  <c:v>Laban</c:v>
                </c:pt>
                <c:pt idx="13">
                  <c:v>Dan</c:v>
                </c:pt>
                <c:pt idx="14">
                  <c:v>Jose</c:v>
                </c:pt>
                <c:pt idx="15">
                  <c:v>Kelvin</c:v>
                </c:pt>
                <c:pt idx="16">
                  <c:v>Brenda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6-4D6E-8450-20BFA3FE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304112"/>
        <c:axId val="1968302192"/>
      </c:barChart>
      <c:catAx>
        <c:axId val="19683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02192"/>
        <c:crosses val="autoZero"/>
        <c:auto val="1"/>
        <c:lblAlgn val="ctr"/>
        <c:lblOffset val="100"/>
        <c:noMultiLvlLbl val="0"/>
      </c:catAx>
      <c:valAx>
        <c:axId val="19683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307975</xdr:colOff>
      <xdr:row>0</xdr:row>
      <xdr:rowOff>368300</xdr:rowOff>
    </xdr:from>
    <xdr:to>
      <xdr:col>18</xdr:col>
      <xdr:colOff>177800</xdr:colOff>
      <xdr:row>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93075-4361-2830-9AC0-FB279BDA1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279400</xdr:colOff>
      <xdr:row>5</xdr:row>
      <xdr:rowOff>146050</xdr:rowOff>
    </xdr:from>
    <xdr:to>
      <xdr:col>18</xdr:col>
      <xdr:colOff>241300</xdr:colOff>
      <xdr:row>16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44DFA-CAC4-9875-E3D2-C24B52567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19</xdr:row>
      <xdr:rowOff>31750</xdr:rowOff>
    </xdr:from>
    <xdr:to>
      <xdr:col>19</xdr:col>
      <xdr:colOff>101600</xdr:colOff>
      <xdr:row>29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82AC0A-B973-C507-E80B-6D76E5D01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428625</xdr:colOff>
      <xdr:row>3</xdr:row>
      <xdr:rowOff>57150</xdr:rowOff>
    </xdr:from>
    <xdr:to>
      <xdr:col>24</xdr:col>
      <xdr:colOff>342900</xdr:colOff>
      <xdr:row>13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456750-28C8-5ECE-1DFB-52A66405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C198-2D5C-4D63-92C1-C8D8023B32EE}">
  <dimension ref="A1:AB24"/>
  <sheetViews>
    <sheetView tabSelected="1" topLeftCell="A4" workbookViewId="0">
      <selection activeCell="V19" sqref="V19"/>
    </sheetView>
  </sheetViews>
  <sheetFormatPr defaultRowHeight="14.5" x14ac:dyDescent="0.35"/>
  <cols>
    <col min="1" max="1" width="10.54296875" bestFit="1" customWidth="1"/>
    <col min="2" max="2" width="13.1796875" bestFit="1" customWidth="1"/>
    <col min="3" max="4" width="4.90625" bestFit="1" customWidth="1"/>
    <col min="5" max="5" width="5.90625" bestFit="1" customWidth="1"/>
    <col min="6" max="6" width="3.90625" bestFit="1" customWidth="1"/>
    <col min="7" max="7" width="1.90625" customWidth="1"/>
    <col min="8" max="11" width="5.26953125" bestFit="1" customWidth="1"/>
    <col min="12" max="12" width="1.26953125" bestFit="1" customWidth="1"/>
  </cols>
  <sheetData>
    <row r="1" spans="1:28" ht="123.5" x14ac:dyDescent="0.35">
      <c r="A1" s="7" t="s">
        <v>0</v>
      </c>
      <c r="B1" s="8"/>
      <c r="C1" s="3" t="s">
        <v>37</v>
      </c>
      <c r="D1" s="3" t="s">
        <v>39</v>
      </c>
      <c r="E1" s="3" t="s">
        <v>40</v>
      </c>
      <c r="F1" s="3" t="s">
        <v>38</v>
      </c>
      <c r="G1" s="2"/>
      <c r="H1" s="3" t="s">
        <v>37</v>
      </c>
      <c r="I1" s="3" t="s">
        <v>39</v>
      </c>
      <c r="J1" s="3" t="s">
        <v>40</v>
      </c>
      <c r="K1" s="3" t="s">
        <v>38</v>
      </c>
      <c r="L1" s="2"/>
      <c r="M1" s="3" t="s">
        <v>43</v>
      </c>
    </row>
    <row r="2" spans="1:28" x14ac:dyDescent="0.35">
      <c r="A2" s="9" t="s">
        <v>41</v>
      </c>
      <c r="B2" s="8"/>
      <c r="C2" s="6">
        <v>10</v>
      </c>
      <c r="D2" s="6">
        <v>20</v>
      </c>
      <c r="E2" s="6">
        <v>100</v>
      </c>
      <c r="F2" s="6">
        <v>1</v>
      </c>
      <c r="G2" s="6"/>
      <c r="H2" s="6"/>
      <c r="I2" s="6"/>
      <c r="J2" s="6"/>
      <c r="K2" s="6"/>
      <c r="L2" s="6"/>
      <c r="M2" s="6"/>
    </row>
    <row r="3" spans="1:28" x14ac:dyDescent="0.35">
      <c r="A3" s="6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8" x14ac:dyDescent="0.35">
      <c r="A4" s="4" t="s">
        <v>3</v>
      </c>
      <c r="B4" s="4" t="s">
        <v>4</v>
      </c>
      <c r="C4" s="6">
        <v>10</v>
      </c>
      <c r="D4" s="6">
        <v>19</v>
      </c>
      <c r="E4" s="6">
        <v>93</v>
      </c>
      <c r="F4" s="6">
        <v>1</v>
      </c>
      <c r="G4" s="6"/>
      <c r="H4" s="5">
        <f>C4/C$2</f>
        <v>1</v>
      </c>
      <c r="I4" s="5">
        <f>D4/D$2</f>
        <v>0.95</v>
      </c>
      <c r="J4" s="5">
        <f>E4/E$2</f>
        <v>0.93</v>
      </c>
      <c r="K4" s="5">
        <f>F4/F$2</f>
        <v>1</v>
      </c>
      <c r="L4" s="6"/>
      <c r="M4" s="5" t="b">
        <f>OR(H4&lt;0.5,I4&lt;0.5,J4&lt;0.5,K4&lt;0.5)</f>
        <v>0</v>
      </c>
    </row>
    <row r="5" spans="1:28" x14ac:dyDescent="0.35">
      <c r="A5" s="4" t="s">
        <v>5</v>
      </c>
      <c r="B5" s="4" t="s">
        <v>6</v>
      </c>
      <c r="C5" s="6">
        <v>9</v>
      </c>
      <c r="D5" s="6">
        <v>20</v>
      </c>
      <c r="E5" s="6">
        <v>100</v>
      </c>
      <c r="F5" s="6">
        <v>1</v>
      </c>
      <c r="G5" s="6"/>
      <c r="H5" s="5">
        <f>C5/C$2</f>
        <v>0.9</v>
      </c>
      <c r="I5" s="5">
        <f>D5/D$2</f>
        <v>1</v>
      </c>
      <c r="J5" s="5">
        <f>E5/E$2</f>
        <v>1</v>
      </c>
      <c r="K5" s="5">
        <f>F5/F$2</f>
        <v>1</v>
      </c>
      <c r="L5" s="6" t="s">
        <v>42</v>
      </c>
      <c r="M5" s="5" t="b">
        <f t="shared" ref="M5:M20" si="0">OR(H5&lt;0.5,I5&lt;0.5,J5&lt;0.5,K5&lt;0.5)</f>
        <v>0</v>
      </c>
    </row>
    <row r="6" spans="1:28" x14ac:dyDescent="0.35">
      <c r="A6" s="4" t="s">
        <v>7</v>
      </c>
      <c r="B6" s="4" t="s">
        <v>8</v>
      </c>
      <c r="C6" s="6">
        <v>8</v>
      </c>
      <c r="D6" s="6">
        <v>17</v>
      </c>
      <c r="E6" s="6">
        <v>82</v>
      </c>
      <c r="F6" s="6">
        <v>1</v>
      </c>
      <c r="G6" s="6"/>
      <c r="H6" s="5">
        <f>C6/C$2</f>
        <v>0.8</v>
      </c>
      <c r="I6" s="5">
        <f>D6/D$2</f>
        <v>0.85</v>
      </c>
      <c r="J6" s="5">
        <f>E6/E$2</f>
        <v>0.82</v>
      </c>
      <c r="K6" s="5">
        <f>F6/F$2</f>
        <v>1</v>
      </c>
      <c r="L6" s="6"/>
      <c r="M6" s="5" t="b">
        <f t="shared" si="0"/>
        <v>0</v>
      </c>
    </row>
    <row r="7" spans="1:28" x14ac:dyDescent="0.35">
      <c r="A7" s="4" t="s">
        <v>9</v>
      </c>
      <c r="B7" s="4" t="s">
        <v>10</v>
      </c>
      <c r="C7" s="6">
        <v>9</v>
      </c>
      <c r="D7" s="6">
        <v>10</v>
      </c>
      <c r="E7" s="6">
        <v>73</v>
      </c>
      <c r="F7" s="6">
        <v>1</v>
      </c>
      <c r="G7" s="6"/>
      <c r="H7" s="5">
        <f>C7/C$2</f>
        <v>0.9</v>
      </c>
      <c r="I7" s="5">
        <f>D7/D$2</f>
        <v>0.5</v>
      </c>
      <c r="J7" s="5">
        <f>E7/E$2</f>
        <v>0.73</v>
      </c>
      <c r="K7" s="5">
        <f>F7/F$2</f>
        <v>1</v>
      </c>
      <c r="L7" s="6"/>
      <c r="M7" s="5" t="b">
        <f t="shared" si="0"/>
        <v>0</v>
      </c>
    </row>
    <row r="8" spans="1:28" x14ac:dyDescent="0.35">
      <c r="A8" s="4" t="s">
        <v>11</v>
      </c>
      <c r="B8" s="4" t="s">
        <v>12</v>
      </c>
      <c r="C8" s="6">
        <v>10</v>
      </c>
      <c r="D8" s="6">
        <v>20</v>
      </c>
      <c r="E8" s="6">
        <v>59</v>
      </c>
      <c r="F8" s="6">
        <v>1</v>
      </c>
      <c r="G8" s="6"/>
      <c r="H8" s="5">
        <f>C8/C$2</f>
        <v>1</v>
      </c>
      <c r="I8" s="5">
        <f>D8/D$2</f>
        <v>1</v>
      </c>
      <c r="J8" s="5">
        <f>E8/E$2</f>
        <v>0.59</v>
      </c>
      <c r="K8" s="5">
        <f>F8/F$2</f>
        <v>1</v>
      </c>
      <c r="L8" s="6"/>
      <c r="M8" s="5" t="b">
        <f t="shared" si="0"/>
        <v>0</v>
      </c>
      <c r="AA8" s="1" t="s">
        <v>47</v>
      </c>
      <c r="AB8" s="1"/>
    </row>
    <row r="9" spans="1:28" x14ac:dyDescent="0.35">
      <c r="A9" s="4" t="s">
        <v>13</v>
      </c>
      <c r="B9" s="4" t="s">
        <v>14</v>
      </c>
      <c r="C9" s="6">
        <v>9</v>
      </c>
      <c r="D9" s="6">
        <v>17</v>
      </c>
      <c r="E9" s="6">
        <v>100</v>
      </c>
      <c r="F9" s="6">
        <v>1</v>
      </c>
      <c r="G9" s="6"/>
      <c r="H9" s="5">
        <f>C9/C$2</f>
        <v>0.9</v>
      </c>
      <c r="I9" s="5">
        <f>D9/D$2</f>
        <v>0.85</v>
      </c>
      <c r="J9" s="5">
        <f>E9/E$2</f>
        <v>1</v>
      </c>
      <c r="K9" s="5">
        <f>F9/F$2</f>
        <v>1</v>
      </c>
      <c r="L9" s="6"/>
      <c r="M9" s="5" t="b">
        <f t="shared" si="0"/>
        <v>0</v>
      </c>
      <c r="AA9" s="1"/>
      <c r="AB9" s="1"/>
    </row>
    <row r="10" spans="1:28" x14ac:dyDescent="0.35">
      <c r="A10" s="4" t="s">
        <v>15</v>
      </c>
      <c r="B10" s="4" t="s">
        <v>16</v>
      </c>
      <c r="C10" s="6">
        <v>8</v>
      </c>
      <c r="D10" s="6">
        <v>20</v>
      </c>
      <c r="E10" s="6">
        <v>100</v>
      </c>
      <c r="F10" s="6">
        <v>0</v>
      </c>
      <c r="G10" s="6"/>
      <c r="H10" s="5">
        <f>C10/C$2</f>
        <v>0.8</v>
      </c>
      <c r="I10" s="5">
        <f>D10/D$2</f>
        <v>1</v>
      </c>
      <c r="J10" s="5">
        <f>E10/E$2</f>
        <v>1</v>
      </c>
      <c r="K10" s="5">
        <f>F10/F$2</f>
        <v>0</v>
      </c>
      <c r="L10" s="6"/>
      <c r="M10" s="5" t="b">
        <f t="shared" si="0"/>
        <v>1</v>
      </c>
      <c r="AA10" s="1"/>
      <c r="AB10" s="1"/>
    </row>
    <row r="11" spans="1:28" x14ac:dyDescent="0.35">
      <c r="A11" s="4" t="s">
        <v>17</v>
      </c>
      <c r="B11" s="4" t="s">
        <v>18</v>
      </c>
      <c r="C11" s="6">
        <v>5</v>
      </c>
      <c r="D11" s="6">
        <v>6</v>
      </c>
      <c r="E11" s="6">
        <v>100</v>
      </c>
      <c r="F11" s="6">
        <v>1</v>
      </c>
      <c r="G11" s="6"/>
      <c r="H11" s="5">
        <f>C11/C$2</f>
        <v>0.5</v>
      </c>
      <c r="I11" s="5">
        <f>D11/D$2</f>
        <v>0.3</v>
      </c>
      <c r="J11" s="5">
        <f>E11/E$2</f>
        <v>1</v>
      </c>
      <c r="K11" s="5">
        <f>F11/F$2</f>
        <v>1</v>
      </c>
      <c r="L11" s="6"/>
      <c r="M11" s="5" t="b">
        <f t="shared" si="0"/>
        <v>1</v>
      </c>
      <c r="AA11" s="1"/>
      <c r="AB11" s="1"/>
    </row>
    <row r="12" spans="1:28" x14ac:dyDescent="0.35">
      <c r="A12" s="4" t="s">
        <v>19</v>
      </c>
      <c r="B12" s="4" t="s">
        <v>20</v>
      </c>
      <c r="C12" s="6">
        <v>10</v>
      </c>
      <c r="D12" s="6">
        <v>20</v>
      </c>
      <c r="E12" s="6">
        <v>67</v>
      </c>
      <c r="F12" s="6">
        <v>1</v>
      </c>
      <c r="G12" s="6"/>
      <c r="H12" s="5">
        <f>C12/C$2</f>
        <v>1</v>
      </c>
      <c r="I12" s="5">
        <f>D12/D$2</f>
        <v>1</v>
      </c>
      <c r="J12" s="5">
        <f>E12/E$2</f>
        <v>0.67</v>
      </c>
      <c r="K12" s="5">
        <f>F12/F$2</f>
        <v>1</v>
      </c>
      <c r="L12" s="6"/>
      <c r="M12" s="5" t="b">
        <f t="shared" si="0"/>
        <v>0</v>
      </c>
    </row>
    <row r="13" spans="1:28" x14ac:dyDescent="0.35">
      <c r="A13" s="4" t="s">
        <v>21</v>
      </c>
      <c r="B13" s="4" t="s">
        <v>22</v>
      </c>
      <c r="C13" s="6">
        <v>9</v>
      </c>
      <c r="D13" s="6">
        <v>20</v>
      </c>
      <c r="E13" s="6">
        <v>70</v>
      </c>
      <c r="F13" s="6">
        <v>1</v>
      </c>
      <c r="G13" s="6"/>
      <c r="H13" s="5">
        <f>C13/C$2</f>
        <v>0.9</v>
      </c>
      <c r="I13" s="5">
        <f>D13/D$2</f>
        <v>1</v>
      </c>
      <c r="J13" s="5">
        <f>E13/E$2</f>
        <v>0.7</v>
      </c>
      <c r="K13" s="5">
        <f>F13/F$2</f>
        <v>1</v>
      </c>
      <c r="L13" s="6"/>
      <c r="M13" s="5" t="b">
        <f t="shared" si="0"/>
        <v>0</v>
      </c>
    </row>
    <row r="14" spans="1:28" x14ac:dyDescent="0.35">
      <c r="A14" s="4" t="s">
        <v>23</v>
      </c>
      <c r="B14" s="4" t="s">
        <v>24</v>
      </c>
      <c r="C14" s="6">
        <v>10</v>
      </c>
      <c r="D14" s="6">
        <v>19</v>
      </c>
      <c r="E14" s="6">
        <v>80</v>
      </c>
      <c r="F14" s="6">
        <v>1</v>
      </c>
      <c r="G14" s="6"/>
      <c r="H14" s="5">
        <f>C14/C$2</f>
        <v>1</v>
      </c>
      <c r="I14" s="5">
        <f>D14/D$2</f>
        <v>0.95</v>
      </c>
      <c r="J14" s="5">
        <f>E14/E$2</f>
        <v>0.8</v>
      </c>
      <c r="K14" s="5">
        <f>F14/F$2</f>
        <v>1</v>
      </c>
      <c r="L14" s="6"/>
      <c r="M14" s="5" t="b">
        <f t="shared" si="0"/>
        <v>0</v>
      </c>
    </row>
    <row r="15" spans="1:28" x14ac:dyDescent="0.35">
      <c r="A15" s="4" t="s">
        <v>25</v>
      </c>
      <c r="B15" s="4" t="s">
        <v>26</v>
      </c>
      <c r="C15" s="6">
        <v>8</v>
      </c>
      <c r="D15" s="6">
        <v>17</v>
      </c>
      <c r="E15" s="6">
        <v>90</v>
      </c>
      <c r="F15" s="6">
        <v>1</v>
      </c>
      <c r="G15" s="6"/>
      <c r="H15" s="5">
        <f>C15/C$2</f>
        <v>0.8</v>
      </c>
      <c r="I15" s="5">
        <f>D15/D$2</f>
        <v>0.85</v>
      </c>
      <c r="J15" s="5">
        <f>E15/E$2</f>
        <v>0.9</v>
      </c>
      <c r="K15" s="5">
        <f>F15/F$2</f>
        <v>1</v>
      </c>
      <c r="L15" s="6"/>
      <c r="M15" s="5" t="b">
        <f t="shared" si="0"/>
        <v>0</v>
      </c>
    </row>
    <row r="16" spans="1:28" x14ac:dyDescent="0.35">
      <c r="A16" s="4" t="s">
        <v>27</v>
      </c>
      <c r="B16" s="4" t="s">
        <v>28</v>
      </c>
      <c r="C16" s="6">
        <v>9</v>
      </c>
      <c r="D16" s="6">
        <v>19</v>
      </c>
      <c r="E16" s="6">
        <v>45</v>
      </c>
      <c r="F16" s="6">
        <v>0</v>
      </c>
      <c r="G16" s="6"/>
      <c r="H16" s="5">
        <f>C16/C$2</f>
        <v>0.9</v>
      </c>
      <c r="I16" s="5">
        <f>D16/D$2</f>
        <v>0.95</v>
      </c>
      <c r="J16" s="5">
        <f>E16/E$2</f>
        <v>0.45</v>
      </c>
      <c r="K16" s="5">
        <f>F16/F$2</f>
        <v>0</v>
      </c>
      <c r="L16" s="6"/>
      <c r="M16" s="5" t="b">
        <f t="shared" si="0"/>
        <v>1</v>
      </c>
    </row>
    <row r="17" spans="1:13" x14ac:dyDescent="0.35">
      <c r="A17" s="4" t="s">
        <v>29</v>
      </c>
      <c r="B17" s="4" t="s">
        <v>30</v>
      </c>
      <c r="C17" s="6">
        <v>7</v>
      </c>
      <c r="D17" s="6">
        <v>20</v>
      </c>
      <c r="E17" s="6">
        <v>90</v>
      </c>
      <c r="F17" s="6">
        <v>1</v>
      </c>
      <c r="G17" s="6"/>
      <c r="H17" s="5">
        <f>C17/C$2</f>
        <v>0.7</v>
      </c>
      <c r="I17" s="5">
        <f>D17/D$2</f>
        <v>1</v>
      </c>
      <c r="J17" s="5">
        <f>E17/E$2</f>
        <v>0.9</v>
      </c>
      <c r="K17" s="5">
        <f>F17/F$2</f>
        <v>1</v>
      </c>
      <c r="L17" s="6"/>
      <c r="M17" s="5" t="b">
        <f t="shared" si="0"/>
        <v>0</v>
      </c>
    </row>
    <row r="18" spans="1:13" x14ac:dyDescent="0.35">
      <c r="A18" s="4" t="s">
        <v>31</v>
      </c>
      <c r="B18" s="4" t="s">
        <v>32</v>
      </c>
      <c r="C18" s="6">
        <v>10</v>
      </c>
      <c r="D18" s="6">
        <v>10</v>
      </c>
      <c r="E18" s="6">
        <v>80</v>
      </c>
      <c r="F18" s="6">
        <v>1</v>
      </c>
      <c r="G18" s="6"/>
      <c r="H18" s="5">
        <f>C18/C$2</f>
        <v>1</v>
      </c>
      <c r="I18" s="5">
        <f>D18/D$2</f>
        <v>0.5</v>
      </c>
      <c r="J18" s="5">
        <f>E18/E$2</f>
        <v>0.8</v>
      </c>
      <c r="K18" s="5">
        <f>F18/F$2</f>
        <v>1</v>
      </c>
      <c r="L18" s="6"/>
      <c r="M18" s="5" t="b">
        <f t="shared" si="0"/>
        <v>0</v>
      </c>
    </row>
    <row r="19" spans="1:13" x14ac:dyDescent="0.35">
      <c r="A19" s="4" t="s">
        <v>33</v>
      </c>
      <c r="B19" s="4" t="s">
        <v>34</v>
      </c>
      <c r="C19" s="6">
        <v>11</v>
      </c>
      <c r="D19" s="6">
        <v>20</v>
      </c>
      <c r="E19" s="6">
        <v>69</v>
      </c>
      <c r="F19" s="6">
        <v>1</v>
      </c>
      <c r="G19" s="6"/>
      <c r="H19" s="5">
        <f>C19/C$2</f>
        <v>1.1000000000000001</v>
      </c>
      <c r="I19" s="5">
        <f>D19/D$2</f>
        <v>1</v>
      </c>
      <c r="J19" s="5">
        <f>E19/E$2</f>
        <v>0.69</v>
      </c>
      <c r="K19" s="5">
        <f>F19/F$2</f>
        <v>1</v>
      </c>
      <c r="L19" s="6"/>
      <c r="M19" s="5" t="b">
        <f t="shared" si="0"/>
        <v>0</v>
      </c>
    </row>
    <row r="20" spans="1:13" x14ac:dyDescent="0.35">
      <c r="A20" s="4" t="s">
        <v>35</v>
      </c>
      <c r="B20" s="4" t="s">
        <v>36</v>
      </c>
      <c r="C20" s="6">
        <v>10</v>
      </c>
      <c r="D20" s="6">
        <v>14</v>
      </c>
      <c r="E20" s="6">
        <v>90</v>
      </c>
      <c r="F20" s="6">
        <v>1</v>
      </c>
      <c r="G20" s="6"/>
      <c r="H20" s="5">
        <f>C20/C$2</f>
        <v>1</v>
      </c>
      <c r="I20" s="5">
        <f>D20/D$2</f>
        <v>0.7</v>
      </c>
      <c r="J20" s="5">
        <f>E20/E$2</f>
        <v>0.9</v>
      </c>
      <c r="K20" s="5">
        <f>F20/F$2</f>
        <v>1</v>
      </c>
      <c r="L20" s="6"/>
      <c r="M20" s="5" t="b">
        <f t="shared" si="0"/>
        <v>0</v>
      </c>
    </row>
    <row r="21" spans="1:13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35">
      <c r="A22" s="6"/>
      <c r="B22" s="4" t="s">
        <v>44</v>
      </c>
      <c r="C22" s="6">
        <f>MAX(C4:C20)</f>
        <v>11</v>
      </c>
      <c r="D22" s="6">
        <f t="shared" ref="D22:F22" si="1">MAX(D4:D20)</f>
        <v>20</v>
      </c>
      <c r="E22" s="6">
        <f t="shared" si="1"/>
        <v>100</v>
      </c>
      <c r="F22" s="6">
        <f t="shared" si="1"/>
        <v>1</v>
      </c>
      <c r="G22" s="6"/>
      <c r="H22" s="5">
        <f>MAX(H4:H20)</f>
        <v>1.1000000000000001</v>
      </c>
      <c r="I22" s="5">
        <f t="shared" ref="I22:K22" si="2">MAX(I4:I20)</f>
        <v>1</v>
      </c>
      <c r="J22" s="5">
        <f t="shared" si="2"/>
        <v>1</v>
      </c>
      <c r="K22" s="5">
        <f t="shared" si="2"/>
        <v>1</v>
      </c>
      <c r="L22" s="6"/>
      <c r="M22" s="6"/>
    </row>
    <row r="23" spans="1:13" x14ac:dyDescent="0.35">
      <c r="A23" s="6"/>
      <c r="B23" s="4" t="s">
        <v>45</v>
      </c>
      <c r="C23" s="6">
        <f>MIN(C4:C20)</f>
        <v>5</v>
      </c>
      <c r="D23" s="6">
        <f t="shared" ref="D23:F23" si="3">MIN(D4:D20)</f>
        <v>6</v>
      </c>
      <c r="E23" s="6">
        <f t="shared" si="3"/>
        <v>45</v>
      </c>
      <c r="F23" s="6">
        <f t="shared" si="3"/>
        <v>0</v>
      </c>
      <c r="G23" s="6"/>
      <c r="H23" s="5">
        <f>MIN(H4:H20)</f>
        <v>0.5</v>
      </c>
      <c r="I23" s="5">
        <f t="shared" ref="I23:K23" si="4">MIN(I4:I20)</f>
        <v>0.3</v>
      </c>
      <c r="J23" s="5">
        <f t="shared" si="4"/>
        <v>0.45</v>
      </c>
      <c r="K23" s="5">
        <f t="shared" si="4"/>
        <v>0</v>
      </c>
      <c r="L23" s="6"/>
      <c r="M23" s="6"/>
    </row>
    <row r="24" spans="1:13" x14ac:dyDescent="0.35">
      <c r="A24" s="6"/>
      <c r="B24" s="4" t="s">
        <v>46</v>
      </c>
      <c r="C24" s="6">
        <f>AVERAGE(C4:C20)</f>
        <v>8.9411764705882355</v>
      </c>
      <c r="D24" s="6">
        <f t="shared" ref="D24:F24" si="5">AVERAGE(D4:D20)</f>
        <v>16.941176470588236</v>
      </c>
      <c r="E24" s="6">
        <f t="shared" si="5"/>
        <v>81.647058823529406</v>
      </c>
      <c r="F24" s="6">
        <f t="shared" si="5"/>
        <v>0.88235294117647056</v>
      </c>
      <c r="G24" s="6"/>
      <c r="H24" s="5">
        <f>AVERAGE(H4:H20)</f>
        <v>0.89411764705882346</v>
      </c>
      <c r="I24" s="5">
        <f t="shared" ref="I24:K24" si="6">AVERAGE(I4:I20)</f>
        <v>0.84705882352941153</v>
      </c>
      <c r="J24" s="5">
        <f t="shared" si="6"/>
        <v>0.81647058823529417</v>
      </c>
      <c r="K24" s="5">
        <f t="shared" si="6"/>
        <v>0.88235294117647056</v>
      </c>
      <c r="L24" s="6"/>
      <c r="M24" s="6"/>
    </row>
  </sheetData>
  <mergeCells count="3">
    <mergeCell ref="AA8:AB11"/>
    <mergeCell ref="A1:B1"/>
    <mergeCell ref="A2:B2"/>
  </mergeCells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 max</dc:creator>
  <cp:lastModifiedBy>Brio max</cp:lastModifiedBy>
  <dcterms:created xsi:type="dcterms:W3CDTF">2026-01-29T11:08:15Z</dcterms:created>
  <dcterms:modified xsi:type="dcterms:W3CDTF">2026-01-29T12:22:30Z</dcterms:modified>
</cp:coreProperties>
</file>